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48042c4b6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wner Dashboard" sheetId="1" r:id="R9ae3caad07d34ae7"/>
    <x:sheet xmlns:r="http://schemas.openxmlformats.org/officeDocument/2006/relationships" name="Scenario Comparison" sheetId="2" r:id="Rc5420068d6cf43f4"/>
    <x:sheet xmlns:r="http://schemas.openxmlformats.org/officeDocument/2006/relationships" name="Historical Reference" sheetId="3" r:id="Rda327b581d2d4918"/>
    <x:sheet xmlns:r="http://schemas.openxmlformats.org/officeDocument/2006/relationships" name="Read Me" sheetId="4" r:id="R60af635ff7b64e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0%"/>
    <x:numFmt numFmtId="202" formatCode="$#,##0.00"/>
    <x:numFmt numFmtId="203" formatCode="0%"/>
    <x:numFmt numFmtId="204" formatCode="0.0"/>
    <x:numFmt numFmtId="205" formatCode="0.00&quot;×&quot;"/>
    <x:numFmt numFmtId="206" formatCode="$#,##0"/>
  </x:numFmts>
  <x:fonts count="8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22382B"/>
      <x:name val="Carlito"/>
    </x:font>
    <x:font>
      <x:b/>
      <x:sz val="19"/>
      <x:color rgb="FF22382B"/>
      <x:name val="Carlito"/>
    </x:font>
    <x:font>
      <x:sz val="11"/>
      <x:color rgb="FF6A756B"/>
      <x:name val="Carlito"/>
    </x:font>
    <x:font>
      <x:sz val="11"/>
      <x:color rgb="FF22382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7F4EB"/>
      </x:patternFill>
    </x:fill>
    <x:fill>
      <x:patternFill patternType="solid">
        <x:fgColor rgb="FF22382B"/>
      </x:patternFill>
    </x:fill>
    <x:fill>
      <x:patternFill patternType="solid">
        <x:fgColor rgb="FFE5F0EA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200" fontId="0" fillId="2" borderId="0" xfId="0" applyNumberFormat="1" applyFont="1" applyFill="1" applyBorder="1"/>
    <x:xf numFmtId="200" fontId="0" fillId="2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0" fontId="7" fillId="4" borderId="0" xfId="0" applyNumberFormat="1" applyFont="1" applyFill="1" applyBorder="1"/>
    <x:xf numFmtId="200" fontId="7" fillId="4" borderId="1" xfId="0" applyNumberFormat="1" applyFont="1" applyFill="1" applyBorder="1"/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201" fontId="0" fillId="2" borderId="0" xfId="0" applyNumberFormat="1" applyFont="1" applyFill="1" applyBorder="1"/>
    <x:xf numFmtId="201" fontId="0" fillId="2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201" fontId="7" fillId="4" borderId="0" xfId="0" applyNumberFormat="1" applyFont="1" applyFill="1" applyBorder="1"/>
    <x:xf numFmtId="201" fontId="7" fillId="4" borderId="1" xfId="0" applyNumberFormat="1" applyFont="1" applyFill="1" applyBorder="1"/>
    <x:xf numFmtId="201" fontId="4" fillId="4" borderId="0" xfId="0" applyNumberFormat="1" applyFont="1" applyFill="1" applyBorder="1"/>
    <x:xf numFmtId="201" fontId="4" fillId="4" borderId="1" xfId="0" applyNumberFormat="1" applyFont="1" applyFill="1" applyBorder="1"/>
    <x:xf numFmtId="202" fontId="0" fillId="2" borderId="0" xfId="0" applyNumberFormat="1" applyFont="1" applyFill="1" applyBorder="1"/>
    <x:xf numFmtId="202" fontId="0" fillId="2" borderId="1" xfId="0" applyNumberFormat="1" applyFont="1" applyFill="1" applyBorder="1"/>
    <x:xf numFmtId="202" fontId="0" fillId="4" borderId="0" xfId="0" applyNumberFormat="1" applyFont="1" applyFill="1" applyBorder="1"/>
    <x:xf numFmtId="202" fontId="0" fillId="4" borderId="1" xfId="0" applyNumberFormat="1" applyFont="1" applyFill="1" applyBorder="1"/>
    <x:xf numFmtId="202" fontId="7" fillId="4" borderId="0" xfId="0" applyNumberFormat="1" applyFont="1" applyFill="1" applyBorder="1"/>
    <x:xf numFmtId="202" fontId="7" fillId="4" borderId="1" xfId="0" applyNumberFormat="1" applyFont="1" applyFill="1" applyBorder="1"/>
    <x:xf numFmtId="202" fontId="4" fillId="4" borderId="0" xfId="0" applyNumberFormat="1" applyFont="1" applyFill="1" applyBorder="1"/>
    <x:xf numFmtId="202" fontId="4" fillId="4" borderId="1" xfId="0" applyNumberFormat="1" applyFont="1" applyFill="1" applyBorder="1"/>
    <x:xf numFmtId="203" fontId="0" fillId="2" borderId="0" xfId="0" applyNumberFormat="1" applyFont="1" applyFill="1" applyBorder="1"/>
    <x:xf numFmtId="203" fontId="0" fillId="2" borderId="1" xfId="0" applyNumberFormat="1" applyFont="1" applyFill="1" applyBorder="1"/>
    <x:xf numFmtId="203" fontId="0" fillId="4" borderId="0" xfId="0" applyNumberFormat="1" applyFont="1" applyFill="1" applyBorder="1"/>
    <x:xf numFmtId="203" fontId="0" fillId="4" borderId="1" xfId="0" applyNumberFormat="1" applyFont="1" applyFill="1" applyBorder="1"/>
    <x:xf numFmtId="203" fontId="7" fillId="4" borderId="0" xfId="0" applyNumberFormat="1" applyFont="1" applyFill="1" applyBorder="1"/>
    <x:xf numFmtId="203" fontId="7" fillId="4" borderId="1" xfId="0" applyNumberFormat="1" applyFont="1" applyFill="1" applyBorder="1"/>
    <x:xf numFmtId="203" fontId="4" fillId="4" borderId="0" xfId="0" applyNumberFormat="1" applyFont="1" applyFill="1" applyBorder="1"/>
    <x:xf numFmtId="203" fontId="4" fillId="4" borderId="1" xfId="0" applyNumberFormat="1" applyFont="1" applyFill="1" applyBorder="1"/>
    <x:xf numFmtId="204" fontId="0" fillId="2" borderId="0" xfId="0" applyNumberFormat="1" applyFont="1" applyFill="1" applyBorder="1"/>
    <x:xf numFmtId="204" fontId="0" fillId="2" borderId="1" xfId="0" applyNumberFormat="1" applyFont="1" applyFill="1" applyBorder="1"/>
    <x:xf numFmtId="205" fontId="0" fillId="2" borderId="0" xfId="0" applyNumberFormat="1" applyFont="1" applyFill="1" applyBorder="1"/>
    <x:xf numFmtId="205" fontId="0" fillId="2" borderId="1" xfId="0" applyNumberFormat="1" applyFont="1" applyFill="1" applyBorder="1"/>
    <x:xf numFmtId="202" fontId="0" fillId="3" borderId="0" xfId="0" applyNumberFormat="1" applyFont="1" applyFill="1" applyBorder="1"/>
    <x:xf numFmtId="202" fontId="0" fillId="3" borderId="1" xfId="0" applyNumberFormat="1" applyFont="1" applyFill="1" applyBorder="1"/>
    <x:xf numFmtId="202" fontId="1" fillId="3" borderId="0" xfId="0" applyNumberFormat="1" applyFont="1" applyFill="1" applyBorder="1"/>
    <x:xf numFmtId="202" fontId="1" fillId="3" borderId="1" xfId="0" applyNumberFormat="1" applyFont="1" applyFill="1" applyBorder="1"/>
    <x:xf numFmtId="202" fontId="2" fillId="3" borderId="0" xfId="0" applyNumberFormat="1" applyFont="1" applyFill="1" applyBorder="1"/>
    <x:xf numFmtId="202" fontId="2" fillId="3" borderId="1" xfId="0" applyNumberFormat="1" applyFont="1" applyFill="1" applyBorder="1"/>
    <x:xf numFmtId="206" fontId="0" fillId="2" borderId="0" xfId="0" applyNumberFormat="1" applyFont="1" applyFill="1" applyBorder="1"/>
    <x:xf numFmtId="206" fontId="0" fillId="2" borderId="1" xfId="0" applyNumberFormat="1" applyFont="1" applyFill="1" applyBorder="1"/>
    <x:xf numFmtId="206" fontId="0" fillId="4" borderId="0" xfId="0" applyNumberFormat="1" applyFont="1" applyFill="1" applyBorder="1"/>
    <x:xf numFmtId="206" fontId="0" fillId="4" borderId="1" xfId="0" applyNumberFormat="1" applyFont="1" applyFill="1" applyBorder="1"/>
    <x:xf numFmtId="206" fontId="7" fillId="4" borderId="0" xfId="0" applyNumberFormat="1" applyFont="1" applyFill="1" applyBorder="1"/>
    <x:xf numFmtId="206" fontId="7" fillId="4" borderId="1" xfId="0" applyNumberFormat="1" applyFont="1" applyFill="1" applyBorder="1"/>
    <x:xf numFmtId="206" fontId="4" fillId="4" borderId="0" xfId="0" applyNumberFormat="1" applyFont="1" applyFill="1" applyBorder="1"/>
    <x:xf numFmtId="206" fontId="4" fillId="4" borderId="1" xfId="0" applyNumberFormat="1" applyFont="1" applyFill="1" applyBorder="1"/>
    <x:xf numFmtId="206" fontId="0" fillId="3" borderId="0" xfId="0" applyNumberFormat="1" applyFont="1" applyFill="1" applyBorder="1"/>
    <x:xf numFmtId="206" fontId="0" fillId="3" borderId="1" xfId="0" applyNumberFormat="1" applyFont="1" applyFill="1" applyBorder="1"/>
    <x:xf numFmtId="206" fontId="1" fillId="3" borderId="0" xfId="0" applyNumberFormat="1" applyFont="1" applyFill="1" applyBorder="1"/>
    <x:xf numFmtId="206" fontId="1" fillId="3" borderId="1" xfId="0" applyNumberFormat="1" applyFont="1" applyFill="1" applyBorder="1"/>
    <x:xf numFmtId="206" fontId="2" fillId="3" borderId="0" xfId="0" applyNumberFormat="1" applyFont="1" applyFill="1" applyBorder="1"/>
    <x:xf numFmtId="206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ace2942b7e4cd4" /><Relationship Type="http://schemas.openxmlformats.org/officeDocument/2006/relationships/theme" Target="/xl/theme/theme1.xml" Id="R4cee68f4db11490d" /><Relationship Type="http://schemas.openxmlformats.org/officeDocument/2006/relationships/sharedStrings" Target="/xl/sharedStrings.xml" Id="Re033c891d05b4b6e" /><Relationship Type="http://schemas.openxmlformats.org/officeDocument/2006/relationships/worksheet" Target="/xl/worksheets/sheet1.xml" Id="R9ae3caad07d34ae7" /><Relationship Type="http://schemas.openxmlformats.org/officeDocument/2006/relationships/worksheet" Target="/xl/worksheets/sheet2.xml" Id="Rc5420068d6cf43f4" /><Relationship Type="http://schemas.openxmlformats.org/officeDocument/2006/relationships/worksheet" Target="/xl/worksheets/sheet3.xml" Id="Rda327b581d2d4918" /><Relationship Type="http://schemas.openxmlformats.org/officeDocument/2006/relationships/worksheet" Target="/xl/worksheets/sheet4.xml" Id="R60af635ff7b64e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39" hidden="0" customWidth="1"/>
    <x:col min="3" max="3" width="20" hidden="0" customWidth="1"/>
    <x:col min="4" max="4" width="23" hidden="0" customWidth="1"/>
    <x:col min="5" max="5" width="5" hidden="0" customWidth="1"/>
    <x:col min="6" max="6" width="38" hidden="0" customWidth="1"/>
    <x:col min="7" max="7" width="24" hidden="0" customWidth="1"/>
    <x:col min="8" max="8" width="18" hidden="0" customWidth="1"/>
    <x:col min="9" max="9" width="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6" customHeight="1">
      <x:c r="A2" s="2"/>
      <x:c r="B2" s="8" t="str">
        <x:v>DRAKE STRATEGY &amp; ANALYTICS  /  BUSINESS TOOLS</x:v>
      </x:c>
      <x:c r="C2" s="8"/>
      <x:c r="D2" s="8"/>
      <x:c r="E2" s="8"/>
      <x:c r="F2" s="8"/>
      <x:c r="G2" s="8"/>
      <x:c r="H2" s="8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3" customHeight="1">
      <x:c r="A4" s="2"/>
      <x:c r="B4" s="14" t="str">
        <x:v>More revenue. Same appointment schedule.</x:v>
      </x:c>
      <x:c r="C4" s="14"/>
      <x:c r="D4" s="14"/>
      <x:c r="E4" s="14"/>
      <x:c r="F4" s="14"/>
      <x:c r="G4" s="14"/>
      <x:c r="H4" s="14"/>
      <x:c r="I4" s="2"/>
      <x:c r="J4" s="2"/>
      <x:c r="K4" s="2"/>
      <x:c r="L4" s="2"/>
      <x:c r="M4" s="2"/>
      <x:c r="N4" s="2"/>
    </x:row>
    <x:row r="5">
      <x:c r="A5" s="2"/>
      <x:c r="B5" s="16" t="str">
        <x:v>Change the light-green inputs. The results update automatically.</x:v>
      </x:c>
      <x:c r="C5" s="16"/>
      <x:c r="D5" s="16"/>
      <x:c r="E5" s="16"/>
      <x:c r="F5" s="16"/>
      <x:c r="G5" s="16"/>
      <x:c r="H5" s="16"/>
      <x:c r="I5" s="2"/>
      <x:c r="J5" s="2"/>
      <x:c r="K5" s="2"/>
      <x:c r="L5" s="2"/>
      <x:c r="M5" s="2"/>
      <x:c r="N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/>
      <x:c r="B7" s="8" t="str">
        <x:v>01  YOUR PRACTICE</x:v>
      </x:c>
      <x:c r="C7" s="2"/>
      <x:c r="D7" s="2"/>
      <x:c r="E7" s="2"/>
      <x:c r="F7" s="8" t="str">
        <x:v>02  WHAT COULD CHANGE</x:v>
      </x:c>
      <x:c r="G7" s="2"/>
      <x:c r="H7" s="2"/>
      <x:c r="I7" s="2"/>
      <x:c r="J7" s="2"/>
      <x:c r="K7" s="2"/>
      <x:c r="L7" s="2"/>
      <x:c r="M7" s="2"/>
      <x:c r="N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/>
      <x:c r="B9" s="2" t="str">
        <x:v>Scheduled appointments / month</x:v>
      </x:c>
      <x:c r="C9" s="2"/>
      <x:c r="D9" s="24" t="n">
        <x:v>750</x:v>
      </x:c>
      <x:c r="E9" s="2"/>
      <x:c r="F9" s="2" t="str">
        <x:v>Baseline missed visits</x:v>
      </x:c>
      <x:c r="G9" s="50" t="n">
        <x:f>D9*D10</x:f>
        <x:v>77.775</x:v>
      </x:c>
      <x:c r="H9" s="2"/>
      <x:c r="I9" s="2"/>
      <x:c r="J9" s="2"/>
      <x:c r="K9" s="2"/>
      <x:c r="L9" s="2"/>
      <x:c r="M9" s="2"/>
      <x:c r="N9" s="2"/>
    </x:row>
    <x:row r="10">
      <x:c r="A10" s="2"/>
      <x:c r="B10" s="2" t="str">
        <x:v>Current no-show rate</x:v>
      </x:c>
      <x:c r="C10" s="2"/>
      <x:c r="D10" s="32" t="n">
        <x:v>0.1037</x:v>
      </x:c>
      <x:c r="E10" s="2"/>
      <x:c r="F10" s="2" t="str">
        <x:v>Target missed visits</x:v>
      </x:c>
      <x:c r="G10" s="50" t="n">
        <x:f>D9*D11</x:f>
        <x:v>60</x:v>
      </x:c>
      <x:c r="H10" s="2"/>
      <x:c r="I10" s="2"/>
      <x:c r="J10" s="2"/>
      <x:c r="K10" s="2"/>
      <x:c r="L10" s="2"/>
      <x:c r="M10" s="2"/>
      <x:c r="N10" s="2"/>
    </x:row>
    <x:row r="11">
      <x:c r="A11" s="2"/>
      <x:c r="B11" s="2" t="str">
        <x:v>Target no-show rate</x:v>
      </x:c>
      <x:c r="C11" s="2"/>
      <x:c r="D11" s="32" t="n">
        <x:v>0.08</x:v>
      </x:c>
      <x:c r="E11" s="2"/>
      <x:c r="F11" s="2" t="str">
        <x:v>Avoided missed visits</x:v>
      </x:c>
      <x:c r="G11" s="50" t="n">
        <x:f>MAX(0,G9-G10)</x:f>
        <x:v>17.775000000000006</x:v>
      </x:c>
      <x:c r="H11" s="2"/>
      <x:c r="I11" s="2"/>
      <x:c r="J11" s="2"/>
      <x:c r="K11" s="2"/>
      <x:c r="L11" s="2"/>
      <x:c r="M11" s="2"/>
      <x:c r="N11" s="2"/>
    </x:row>
    <x:row r="12">
      <x:c r="A12" s="2"/>
      <x:c r="B12" s="2" t="str">
        <x:v>Revenue per completed visit</x:v>
      </x:c>
      <x:c r="C12" s="2"/>
      <x:c r="D12" s="40" t="n">
        <x:v>100</x:v>
      </x:c>
      <x:c r="E12" s="2"/>
      <x:c r="F12" s="2" t="str">
        <x:v>Extra completed visits</x:v>
      </x:c>
      <x:c r="G12" s="50" t="n">
        <x:f>G11*D14</x:f>
        <x:v>14.220000000000006</x:v>
      </x:c>
      <x:c r="H12" s="2"/>
      <x:c r="I12" s="2"/>
      <x:c r="J12" s="2"/>
      <x:c r="K12" s="2"/>
      <x:c r="L12" s="2"/>
      <x:c r="M12" s="2"/>
      <x:c r="N12" s="2"/>
    </x:row>
    <x:row r="13">
      <x:c r="A13" s="2"/>
      <x:c r="B13" s="2" t="str">
        <x:v>Variable cost per extra visit</x:v>
      </x:c>
      <x:c r="C13" s="2"/>
      <x:c r="D13" s="40" t="n">
        <x:v>60</x:v>
      </x:c>
      <x:c r="E13" s="2"/>
      <x:c r="F13" s="2" t="str">
        <x:v>Added visit revenue</x:v>
      </x:c>
      <x:c r="G13" s="34" t="n">
        <x:f>G12*D12</x:f>
        <x:v>1422.0000000000007</x:v>
      </x:c>
      <x:c r="H13" s="2"/>
      <x:c r="I13" s="2"/>
      <x:c r="J13" s="2"/>
      <x:c r="K13" s="2"/>
      <x:c r="L13" s="2"/>
      <x:c r="M13" s="2"/>
      <x:c r="N13" s="2"/>
    </x:row>
    <x:row r="14">
      <x:c r="A14" s="2"/>
      <x:c r="B14" s="2" t="str">
        <x:v>Share of avoided no-shows completed</x:v>
      </x:c>
      <x:c r="C14" s="2"/>
      <x:c r="D14" s="48" t="n">
        <x:v>0.8</x:v>
      </x:c>
      <x:c r="E14" s="2"/>
      <x:c r="F14" s="2" t="str">
        <x:v>Additional visit delivery costs</x:v>
      </x:c>
      <x:c r="G14" s="34" t="n">
        <x:f>G12*D13</x:f>
        <x:v>853.2000000000004</x:v>
      </x:c>
      <x:c r="H14" s="2"/>
      <x:c r="I14" s="2"/>
      <x:c r="J14" s="2"/>
      <x:c r="K14" s="2"/>
      <x:c r="L14" s="2"/>
      <x:c r="M14" s="2"/>
      <x:c r="N14" s="2"/>
    </x:row>
    <x:row r="15">
      <x:c r="A15" s="2"/>
      <x:c r="B15" s="2" t="str">
        <x:v>Follow-up contacts / month</x:v>
      </x:c>
      <x:c r="C15" s="2"/>
      <x:c r="D15" s="24" t="n">
        <x:v>100</x:v>
      </x:c>
      <x:c r="E15" s="2"/>
      <x:c r="F15" s="2" t="str">
        <x:v>Follow-up program costs</x:v>
      </x:c>
      <x:c r="G15" s="34" t="n">
        <x:f>D15*D16+D17</x:f>
        <x:v>250</x:v>
      </x:c>
      <x:c r="H15" s="2"/>
      <x:c r="I15" s="2"/>
      <x:c r="J15" s="2"/>
      <x:c r="K15" s="2"/>
      <x:c r="L15" s="2"/>
      <x:c r="M15" s="2"/>
      <x:c r="N15" s="2"/>
    </x:row>
    <x:row r="16">
      <x:c r="A16" s="2"/>
      <x:c r="B16" s="2" t="str">
        <x:v>Cost per follow-up contact</x:v>
      </x:c>
      <x:c r="C16" s="2"/>
      <x:c r="D16" s="40" t="n">
        <x:v>2</x:v>
      </x:c>
      <x:c r="E16" s="2"/>
      <x:c r="F16" s="2" t="str">
        <x:v>Incremental contribution</x:v>
      </x:c>
      <x:c r="G16" s="34" t="n">
        <x:f>G13-G14</x:f>
        <x:v>568.8000000000003</x:v>
      </x:c>
      <x:c r="H16" s="2"/>
      <x:c r="I16" s="2"/>
      <x:c r="J16" s="2"/>
      <x:c r="K16" s="2"/>
      <x:c r="L16" s="2"/>
      <x:c r="M16" s="2"/>
      <x:c r="N16" s="2"/>
    </x:row>
    <x:row r="17">
      <x:c r="A17" s="2"/>
      <x:c r="B17" s="2" t="str">
        <x:v>Other monthly program cost</x:v>
      </x:c>
      <x:c r="C17" s="2"/>
      <x:c r="D17" s="40" t="n">
        <x:v>50</x:v>
      </x:c>
      <x:c r="E17" s="2"/>
      <x:c r="F17" s="8" t="str">
        <x:v>Estimated incremental profit</x:v>
      </x:c>
      <x:c r="G17" s="58" t="n">
        <x:f>G16-G15</x:f>
        <x:v>318.8000000000003</x:v>
      </x:c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 t="str">
        <x:v>Break-even additional visits</x:v>
      </x:c>
      <x:c r="G18" s="50" t="n">
        <x:f>IF(D12&gt;D13,G15/(D12-D13),0)</x:f>
        <x:v>6.25</x:v>
      </x:c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 t="str">
        <x:v>Revenue / program cost</x:v>
      </x:c>
      <x:c r="G19" s="52" t="n">
        <x:f>IF(G15&gt;0,G13/G15,0)</x:f>
        <x:v>5.688000000000002</x:v>
      </x:c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8" t="str">
        <x:v>WHAT THIS MEANS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 t="str">
        <x:v>A lower no-show rate matters only when it produces more completed, paid visits.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 t="str">
        <x:v>The model assumes available capacity and a constant recovery rate.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 t="str">
        <x:v>A lower-cost follow-up process may also change how many visits are recovered.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 t="str">
        <x:v>Test against a comparable baseline; track staff time, collected revenue and patient access.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 t="str">
        <x:v>SOURCE: Historical no-show rate (941 / 9,074) is from a historical physiotherapy dataset.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 t="str">
        <x:v>All other default inputs are illustrative and editable. No patient-level reminder records analyzed.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6" t="str">
        <x:v>ILLUSTRATIVE MODEL  •  NOT A CLINIC FORECAST OR VERIFIED REVENUE</x:v>
      </x:c>
      <x:c r="C40" s="6"/>
      <x:c r="D40" s="6"/>
      <x:c r="E40" s="6"/>
      <x:c r="F40" s="6"/>
      <x:c r="G40" s="6"/>
      <x:c r="H40" s="6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39" hidden="0" customWidth="1"/>
    <x:col min="3" max="3" width="20" hidden="0" customWidth="1"/>
    <x:col min="4" max="4" width="23" hidden="0" customWidth="1"/>
    <x:col min="5" max="5" width="5" hidden="0" customWidth="1"/>
    <x:col min="6" max="6" width="38" hidden="0" customWidth="1"/>
    <x:col min="7" max="7" width="24" hidden="0" customWidth="1"/>
    <x:col min="8" max="8" width="18" hidden="0" customWidth="1"/>
    <x:col min="9" max="9" width="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6" customHeight="1">
      <x:c r="A2" s="2"/>
      <x:c r="B2" s="8" t="str">
        <x:v>DRAKE STRATEGY &amp; ANALYTICS  /  BUSINESS TOOLS</x:v>
      </x:c>
      <x:c r="C2" s="8"/>
      <x:c r="D2" s="8"/>
      <x:c r="E2" s="8"/>
      <x:c r="F2" s="8"/>
      <x:c r="G2" s="8"/>
      <x:c r="H2" s="8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3" customHeight="1">
      <x:c r="A4" s="2"/>
      <x:c r="B4" s="14" t="str">
        <x:v>Compare the pilot before scaling.</x:v>
      </x:c>
      <x:c r="C4" s="14"/>
      <x:c r="D4" s="14"/>
      <x:c r="E4" s="14"/>
      <x:c r="F4" s="14"/>
      <x:c r="G4" s="14"/>
      <x:c r="H4" s="14"/>
      <x:c r="I4" s="2"/>
      <x:c r="J4" s="2"/>
      <x:c r="K4" s="2"/>
      <x:c r="L4" s="2"/>
      <x:c r="M4" s="2"/>
      <x:c r="N4" s="2"/>
    </x:row>
    <x:row r="5">
      <x:c r="A5" s="2"/>
      <x:c r="B5" s="16" t="str">
        <x:v>Two hypothetical 30-day choices. Change green cells to compare the trade-offs.</x:v>
      </x:c>
      <x:c r="C5" s="16"/>
      <x:c r="D5" s="16"/>
      <x:c r="E5" s="16"/>
      <x:c r="F5" s="16"/>
      <x:c r="G5" s="16"/>
      <x:c r="H5" s="16"/>
      <x:c r="I5" s="2"/>
      <x:c r="J5" s="2"/>
      <x:c r="K5" s="2"/>
      <x:c r="L5" s="2"/>
      <x:c r="M5" s="2"/>
      <x:c r="N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"/>
      <x:c r="B8" s="8" t="str">
        <x:v>ASSUMPTION</x:v>
      </x:c>
      <x:c r="C8" s="2"/>
      <x:c r="D8" s="8" t="str">
        <x:v>OPTION A  /  PILOT</x:v>
      </x:c>
      <x:c r="E8" s="2"/>
      <x:c r="F8" s="2"/>
      <x:c r="G8" s="8" t="str">
        <x:v>OPTION B  /  EXPAND</x:v>
      </x:c>
      <x:c r="H8" s="2"/>
      <x:c r="I8" s="2"/>
      <x:c r="J8" s="2"/>
      <x:c r="K8" s="2"/>
      <x:c r="L8" s="2"/>
      <x:c r="M8" s="2"/>
      <x:c r="N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/>
      <x:c r="B10" s="2" t="str">
        <x:v>Monthly scheduled appointments</x:v>
      </x:c>
      <x:c r="C10" s="2"/>
      <x:c r="D10" s="24" t="n">
        <x:v>750</x:v>
      </x:c>
      <x:c r="E10" s="2"/>
      <x:c r="F10" s="2"/>
      <x:c r="G10" s="24" t="n">
        <x:v>750</x:v>
      </x:c>
      <x:c r="H10" s="2"/>
      <x:c r="I10" s="2"/>
      <x:c r="J10" s="2"/>
      <x:c r="K10" s="2"/>
      <x:c r="L10" s="2"/>
      <x:c r="M10" s="2"/>
      <x:c r="N10" s="2"/>
    </x:row>
    <x:row r="11">
      <x:c r="A11" s="2"/>
      <x:c r="B11" s="2" t="str">
        <x:v>Baseline no-show rate</x:v>
      </x:c>
      <x:c r="C11" s="2"/>
      <x:c r="D11" s="32" t="n">
        <x:v>0.1037</x:v>
      </x:c>
      <x:c r="E11" s="2"/>
      <x:c r="F11" s="2"/>
      <x:c r="G11" s="32" t="n">
        <x:v>0.1037</x:v>
      </x:c>
      <x:c r="H11" s="2"/>
      <x:c r="I11" s="2"/>
      <x:c r="J11" s="2"/>
      <x:c r="K11" s="2"/>
      <x:c r="L11" s="2"/>
      <x:c r="M11" s="2"/>
      <x:c r="N11" s="2"/>
    </x:row>
    <x:row r="12">
      <x:c r="A12" s="2"/>
      <x:c r="B12" s="2" t="str">
        <x:v>Target no-show rate</x:v>
      </x:c>
      <x:c r="C12" s="2"/>
      <x:c r="D12" s="32" t="n">
        <x:v>0.08</x:v>
      </x:c>
      <x:c r="E12" s="2"/>
      <x:c r="F12" s="2"/>
      <x:c r="G12" s="32" t="n">
        <x:v>0.06</x:v>
      </x:c>
      <x:c r="H12" s="2"/>
      <x:c r="I12" s="2"/>
      <x:c r="J12" s="2"/>
      <x:c r="K12" s="2"/>
      <x:c r="L12" s="2"/>
      <x:c r="M12" s="2"/>
      <x:c r="N12" s="2"/>
    </x:row>
    <x:row r="13">
      <x:c r="A13" s="2"/>
      <x:c r="B13" s="2" t="str">
        <x:v>Recovery conversion rate</x:v>
      </x:c>
      <x:c r="C13" s="2"/>
      <x:c r="D13" s="48" t="n">
        <x:v>0.8</x:v>
      </x:c>
      <x:c r="E13" s="2"/>
      <x:c r="F13" s="2"/>
      <x:c r="G13" s="48" t="n">
        <x:v>0.8</x:v>
      </x:c>
      <x:c r="H13" s="2"/>
      <x:c r="I13" s="2"/>
      <x:c r="J13" s="2"/>
      <x:c r="K13" s="2"/>
      <x:c r="L13" s="2"/>
      <x:c r="M13" s="2"/>
      <x:c r="N13" s="2"/>
    </x:row>
    <x:row r="14">
      <x:c r="A14" s="2"/>
      <x:c r="B14" s="2" t="str">
        <x:v>Revenue per visit</x:v>
      </x:c>
      <x:c r="C14" s="2"/>
      <x:c r="D14" s="66" t="n">
        <x:v>100</x:v>
      </x:c>
      <x:c r="E14" s="2"/>
      <x:c r="F14" s="2"/>
      <x:c r="G14" s="66" t="n">
        <x:v>100</x:v>
      </x:c>
      <x:c r="H14" s="2"/>
      <x:c r="I14" s="2"/>
      <x:c r="J14" s="2"/>
      <x:c r="K14" s="2"/>
      <x:c r="L14" s="2"/>
      <x:c r="M14" s="2"/>
      <x:c r="N14" s="2"/>
    </x:row>
    <x:row r="15">
      <x:c r="A15" s="2"/>
      <x:c r="B15" s="2" t="str">
        <x:v>Variable cost per extra visit</x:v>
      </x:c>
      <x:c r="C15" s="2"/>
      <x:c r="D15" s="66" t="n">
        <x:v>60</x:v>
      </x:c>
      <x:c r="E15" s="2"/>
      <x:c r="F15" s="2"/>
      <x:c r="G15" s="66" t="n">
        <x:v>60</x:v>
      </x:c>
      <x:c r="H15" s="2"/>
      <x:c r="I15" s="2"/>
      <x:c r="J15" s="2"/>
      <x:c r="K15" s="2"/>
      <x:c r="L15" s="2"/>
      <x:c r="M15" s="2"/>
      <x:c r="N15" s="2"/>
    </x:row>
    <x:row r="16">
      <x:c r="A16" s="2"/>
      <x:c r="B16" s="2" t="str">
        <x:v>Monthly follow-up program cost</x:v>
      </x:c>
      <x:c r="C16" s="2"/>
      <x:c r="D16" s="66" t="n">
        <x:v>250</x:v>
      </x:c>
      <x:c r="E16" s="2"/>
      <x:c r="F16" s="2"/>
      <x:c r="G16" s="66" t="n">
        <x:v>900</x:v>
      </x:c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8" t="str">
        <x:v>PROJECTED RESULT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 t="str">
        <x:v>Additional completed visits</x:v>
      </x:c>
      <x:c r="C21" s="2"/>
      <x:c r="D21" s="50" t="n">
        <x:f>MAX(0,D10*(D11-D12))*D13</x:f>
        <x:v>14.219999999999999</x:v>
      </x:c>
      <x:c r="E21" s="2"/>
      <x:c r="F21" s="2"/>
      <x:c r="G21" s="50" t="n">
        <x:f>MAX(0,G10*(G11-G12))*G13</x:f>
        <x:v>26.22</x:v>
      </x:c>
      <x:c r="H21" s="2"/>
      <x:c r="I21" s="2"/>
      <x:c r="J21" s="2"/>
      <x:c r="K21" s="2"/>
      <x:c r="L21" s="2"/>
      <x:c r="M21" s="2"/>
      <x:c r="N21" s="2"/>
    </x:row>
    <x:row r="22">
      <x:c r="A22" s="2"/>
      <x:c r="B22" s="2" t="str">
        <x:v>Additional revenue</x:v>
      </x:c>
      <x:c r="C22" s="2"/>
      <x:c r="D22" s="60" t="n">
        <x:f>D21*D14</x:f>
        <x:v>1422</x:v>
      </x:c>
      <x:c r="E22" s="2"/>
      <x:c r="F22" s="2"/>
      <x:c r="G22" s="60" t="n">
        <x:f>G21*G14</x:f>
        <x:v>2622</x:v>
      </x:c>
      <x:c r="H22" s="2"/>
      <x:c r="I22" s="2"/>
      <x:c r="J22" s="2"/>
      <x:c r="K22" s="2"/>
      <x:c r="L22" s="2"/>
      <x:c r="M22" s="2"/>
      <x:c r="N22" s="2"/>
    </x:row>
    <x:row r="23">
      <x:c r="A23" s="2"/>
      <x:c r="B23" s="2" t="str">
        <x:v>Incremental contribution</x:v>
      </x:c>
      <x:c r="C23" s="2"/>
      <x:c r="D23" s="60" t="n">
        <x:f>D21*(D14-D15)</x:f>
        <x:v>568.8</x:v>
      </x:c>
      <x:c r="E23" s="2"/>
      <x:c r="F23" s="2"/>
      <x:c r="G23" s="60" t="n">
        <x:f>G21*(G14-G15)</x:f>
        <x:v>1048.8</x:v>
      </x:c>
      <x:c r="H23" s="2"/>
      <x:c r="I23" s="2"/>
      <x:c r="J23" s="2"/>
      <x:c r="K23" s="2"/>
      <x:c r="L23" s="2"/>
      <x:c r="M23" s="2"/>
      <x:c r="N23" s="2"/>
    </x:row>
    <x:row r="24">
      <x:c r="A24" s="2"/>
      <x:c r="B24" s="2" t="str">
        <x:v>Program cost</x:v>
      </x:c>
      <x:c r="C24" s="2"/>
      <x:c r="D24" s="60" t="n">
        <x:f>D16</x:f>
        <x:v>250</x:v>
      </x:c>
      <x:c r="E24" s="2"/>
      <x:c r="F24" s="2"/>
      <x:c r="G24" s="60" t="n">
        <x:f>G16</x:f>
        <x:v>900</x:v>
      </x:c>
      <x:c r="H24" s="2"/>
      <x:c r="I24" s="2"/>
      <x:c r="J24" s="2"/>
      <x:c r="K24" s="2"/>
      <x:c r="L24" s="2"/>
      <x:c r="M24" s="2"/>
      <x:c r="N24" s="2"/>
    </x:row>
    <x:row r="25">
      <x:c r="A25" s="2"/>
      <x:c r="B25" s="8" t="str">
        <x:v>Estimated incremental profit</x:v>
      </x:c>
      <x:c r="C25" s="8"/>
      <x:c r="D25" s="72" t="n">
        <x:f>D23-D24</x:f>
        <x:v>318.79999999999995</x:v>
      </x:c>
      <x:c r="E25" s="8"/>
      <x:c r="F25" s="8"/>
      <x:c r="G25" s="72" t="n">
        <x:f>G23-G24</x:f>
        <x:v>148.79999999999995</x:v>
      </x:c>
      <x:c r="H25" s="8"/>
      <x:c r="I25" s="2"/>
      <x:c r="J25" s="2"/>
      <x:c r="K25" s="2"/>
      <x:c r="L25" s="2"/>
      <x:c r="M25" s="2"/>
      <x:c r="N25" s="2"/>
    </x:row>
    <x:row r="26">
      <x:c r="A26" s="2"/>
      <x:c r="B26" s="2" t="str">
        <x:v>Break-even completed visits</x:v>
      </x:c>
      <x:c r="C26" s="2"/>
      <x:c r="D26" s="50" t="n">
        <x:f>IF(D14&gt;D15,D24/(D14-D15),0)</x:f>
        <x:v>6.25</x:v>
      </x:c>
      <x:c r="E26" s="2"/>
      <x:c r="F26" s="2"/>
      <x:c r="G26" s="50" t="n">
        <x:f>IF(G14&gt;G15,G24/(G14-G15),0)</x:f>
        <x:v>22.5</x:v>
      </x:c>
      <x:c r="H26" s="2"/>
      <x:c r="I26" s="2"/>
      <x:c r="J26" s="2"/>
      <x:c r="K26" s="2"/>
      <x:c r="L26" s="2"/>
      <x:c r="M26" s="2"/>
      <x:c r="N26" s="2"/>
    </x:row>
    <x:row r="27">
      <x:c r="A27" s="2"/>
      <x:c r="B27" s="2" t="str">
        <x:v>Revenue / program cost</x:v>
      </x:c>
      <x:c r="C27" s="2"/>
      <x:c r="D27" s="52" t="n">
        <x:f>IF(D24&gt;0,D22/D24,0)</x:f>
        <x:v>5.688</x:v>
      </x:c>
      <x:c r="E27" s="2"/>
      <x:c r="F27" s="2"/>
      <x:c r="G27" s="52" t="n">
        <x:f>IF(G24&gt;0,G22/G24,0)</x:f>
        <x:v>2.9133333333333336</x:v>
      </x:c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 t="str">
        <x:v>Recommendation: Start with a manageable pilot, measure the actual results, then decide whether to expand.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 t="str">
        <x:v>A higher projected return does not establish that either target is achievable.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6" t="str">
        <x:v>ILLUSTRATIVE MODEL  •  NOT A CLINIC FORECAST OR VERIFIED REVENUE</x:v>
      </x:c>
      <x:c r="C40" s="6"/>
      <x:c r="D40" s="6"/>
      <x:c r="E40" s="6"/>
      <x:c r="F40" s="6"/>
      <x:c r="G40" s="6"/>
      <x:c r="H40" s="6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39" hidden="0" customWidth="1"/>
    <x:col min="3" max="3" width="20" hidden="0" customWidth="1"/>
    <x:col min="4" max="4" width="23" hidden="0" customWidth="1"/>
    <x:col min="5" max="5" width="5" hidden="0" customWidth="1"/>
    <x:col min="6" max="6" width="38" hidden="0" customWidth="1"/>
    <x:col min="7" max="7" width="24" hidden="0" customWidth="1"/>
    <x:col min="8" max="8" width="18" hidden="0" customWidth="1"/>
    <x:col min="9" max="9" width="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6" customHeight="1">
      <x:c r="A2" s="2"/>
      <x:c r="B2" s="8" t="str">
        <x:v>DRAKE STRATEGY &amp; ANALYTICS  /  BUSINESS TOOLS</x:v>
      </x:c>
      <x:c r="C2" s="8"/>
      <x:c r="D2" s="8"/>
      <x:c r="E2" s="8"/>
      <x:c r="F2" s="8"/>
      <x:c r="G2" s="8"/>
      <x:c r="H2" s="8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3" customHeight="1">
      <x:c r="A4" s="2"/>
      <x:c r="B4" s="14" t="str">
        <x:v>What the appointment records showed.</x:v>
      </x:c>
      <x:c r="C4" s="14"/>
      <x:c r="D4" s="14"/>
      <x:c r="E4" s="14"/>
      <x:c r="F4" s="14"/>
      <x:c r="G4" s="14"/>
      <x:c r="H4" s="14"/>
      <x:c r="I4" s="2"/>
      <x:c r="J4" s="2"/>
      <x:c r="K4" s="2"/>
      <x:c r="L4" s="2"/>
      <x:c r="M4" s="2"/>
      <x:c r="N4" s="2"/>
    </x:row>
    <x:row r="5">
      <x:c r="A5" s="2"/>
      <x:c r="B5" s="16" t="str">
        <x:v>Historical observations, not U.S. reimbursement or verified lost revenue.</x:v>
      </x:c>
      <x:c r="C5" s="16"/>
      <x:c r="D5" s="16"/>
      <x:c r="E5" s="16"/>
      <x:c r="F5" s="16"/>
      <x:c r="G5" s="16"/>
      <x:c r="H5" s="16"/>
      <x:c r="I5" s="2"/>
      <x:c r="J5" s="2"/>
      <x:c r="K5" s="2"/>
      <x:c r="L5" s="2"/>
      <x:c r="M5" s="2"/>
      <x:c r="N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"/>
      <x:c r="B8" s="8" t="str">
        <x:v>METRIC</x:v>
      </x:c>
      <x:c r="C8" s="2"/>
      <x:c r="D8" s="8" t="str">
        <x:v>OBSERVED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/>
      <x:c r="B10" s="2" t="str">
        <x:v>Total physiotherapy appointments</x:v>
      </x:c>
      <x:c r="C10" s="2"/>
      <x:c r="D10" s="18" t="n">
        <x:v>9074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/>
      <x:c r="B11" s="2" t="str">
        <x:v>Missed appointments</x:v>
      </x:c>
      <x:c r="C11" s="2"/>
      <x:c r="D11" s="18" t="n">
        <x:v>941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/>
      <x:c r="B12" s="2" t="str">
        <x:v>No-show rate</x:v>
      </x:c>
      <x:c r="C12" s="2"/>
      <x:c r="D12" s="26" t="n">
        <x:f>D11/D10</x:f>
        <x:v>0.10370288737050914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 t="str">
        <x:v>5 PM scheduled visits</x:v>
      </x:c>
      <x:c r="C13" s="2"/>
      <x:c r="D13" s="18" t="n">
        <x:v>519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 t="str">
        <x:v>5 PM missed visits</x:v>
      </x:c>
      <x:c r="C14" s="2"/>
      <x:c r="D14" s="18" t="n">
        <x:v>94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 t="str">
        <x:v>5 PM no-show rate</x:v>
      </x:c>
      <x:c r="C15" s="2"/>
      <x:c r="D15" s="26" t="n">
        <x:f>D14/D13</x:f>
        <x:v>0.1811175337186898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 t="str">
        <x:v>2 PM scheduled visits</x:v>
      </x:c>
      <x:c r="C16" s="2"/>
      <x:c r="D16" s="18" t="n">
        <x:v>1172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 t="str">
        <x:v>2 PM missed visits</x:v>
      </x:c>
      <x:c r="C17" s="2"/>
      <x:c r="D17" s="18" t="n">
        <x:v>147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 t="str">
        <x:v>2 PM no-show rate</x:v>
      </x:c>
      <x:c r="C18" s="2"/>
      <x:c r="D18" s="26" t="n">
        <x:f>D17/D16</x:f>
        <x:v>0.12542662116040956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 t="str">
        <x:v>These counts span multiple years and do not represent one clinic month.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 t="str">
        <x:v>Appointment time and weekday associations do not prove why patients missed visits.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 t="str">
        <x:v>No reminder-response, reimbursement, actual visit cost, or rescheduling data were verified.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6" t="str">
        <x:v>ILLUSTRATIVE MODEL  •  NOT A CLINIC FORECAST OR VERIFIED REVENUE</x:v>
      </x:c>
      <x:c r="C40" s="6"/>
      <x:c r="D40" s="6"/>
      <x:c r="E40" s="6"/>
      <x:c r="F40" s="6"/>
      <x:c r="G40" s="6"/>
      <x:c r="H40" s="6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39" hidden="0" customWidth="1"/>
    <x:col min="3" max="3" width="20" hidden="0" customWidth="1"/>
    <x:col min="4" max="4" width="23" hidden="0" customWidth="1"/>
    <x:col min="5" max="5" width="5" hidden="0" customWidth="1"/>
    <x:col min="6" max="6" width="38" hidden="0" customWidth="1"/>
    <x:col min="7" max="7" width="24" hidden="0" customWidth="1"/>
    <x:col min="8" max="8" width="18" hidden="0" customWidth="1"/>
    <x:col min="9" max="9" width="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6" customHeight="1">
      <x:c r="A2" s="2"/>
      <x:c r="B2" s="8" t="str">
        <x:v>DRAKE STRATEGY &amp; ANALYTICS  /  BUSINESS TOOLS</x:v>
      </x:c>
      <x:c r="C2" s="8"/>
      <x:c r="D2" s="8"/>
      <x:c r="E2" s="8"/>
      <x:c r="F2" s="8"/>
      <x:c r="G2" s="8"/>
      <x:c r="H2" s="8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3" customHeight="1">
      <x:c r="A4" s="2"/>
      <x:c r="B4" s="14" t="str">
        <x:v>Built for business decisions, not just dashboards.</x:v>
      </x:c>
      <x:c r="C4" s="14"/>
      <x:c r="D4" s="14"/>
      <x:c r="E4" s="14"/>
      <x:c r="F4" s="14"/>
      <x:c r="G4" s="14"/>
      <x:c r="H4" s="14"/>
      <x:c r="I4" s="2"/>
      <x:c r="J4" s="2"/>
      <x:c r="K4" s="2"/>
      <x:c r="L4" s="2"/>
      <x:c r="M4" s="2"/>
      <x:c r="N4" s="2"/>
    </x:row>
    <x:row r="5">
      <x:c r="A5" s="2"/>
      <x:c r="B5" s="16" t="str">
        <x:v>How to use this DSA demonstration tool</x:v>
      </x:c>
      <x:c r="C5" s="16"/>
      <x:c r="D5" s="16"/>
      <x:c r="E5" s="16"/>
      <x:c r="F5" s="16"/>
      <x:c r="G5" s="16"/>
      <x:c r="H5" s="16"/>
      <x:c r="I5" s="2"/>
      <x:c r="J5" s="2"/>
      <x:c r="K5" s="2"/>
      <x:c r="L5" s="2"/>
      <x:c r="M5" s="2"/>
      <x:c r="N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"/>
      <x:c r="B8" s="12" t="str">
        <x:v>01  START WITH THE OWNER DASHBOARD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/>
      <x:c r="B9" s="2" t="str">
        <x:v>Edit the green input cells to reflect your own practice. All defaults except the historical no-show rate are examples.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/>
      <x:c r="B12" s="12" t="str">
        <x:v>02  CHECK THE BOTTOM LINE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 t="str">
        <x:v>Compare added visit revenue against incremental delivery and follow-up costs. Negative profit means the program is not modeled to pay for itself.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12" t="str">
        <x:v>03  TEST TWO APPROACHES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 t="str">
        <x:v>Scenario Comparison lets you compare a smaller pilot with a larger program. The target and recovery rate are assumptions, not guarantees.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12" t="str">
        <x:v>04  VERIFY WITH REAL DATA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 t="str">
        <x:v>Use appointment records, actual collected revenue, staffing costs, reminder logs and a comparable baseline before making an investment.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12" t="str">
        <x:v>05  KNOW THE LIMITS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 t="str">
        <x:v>Historical dataset is not a U.S. client engagement. The workbook does not prove causality, net income, reimbursement, or realized revenue.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6" t="str">
        <x:v>ILLUSTRATIVE MODEL  •  NOT A CLINIC FORECAST OR VERIFIED REVENUE</x:v>
      </x:c>
      <x:c r="C40" s="6"/>
      <x:c r="D40" s="6"/>
      <x:c r="E40" s="6"/>
      <x:c r="F40" s="6"/>
      <x:c r="G40" s="6"/>
      <x:c r="H40" s="6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</x:sheetData>
  <x:pageMargins left="0.7" right="0.7" top="0.75" bottom="0.75" header="0.3" footer="0.3"/>
</x:worksheet>
</file>